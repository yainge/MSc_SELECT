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/Users/yukiainge/Documents/Claude/Projects/Energy Modeling &amp; Climate Policy/05_TIMES_Modeling/models/Models MSc_SELECT_updated-20260612/SuppXLS/"/>
    </mc:Choice>
  </mc:AlternateContent>
  <xr:revisionPtr revIDLastSave="0" documentId="8_{74881838-D28F-734F-A851-8928ED45951B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G8" i="1"/>
  <c r="K27" i="1"/>
  <c r="K22" i="1" s="1"/>
  <c r="J27" i="1"/>
  <c r="J22" i="1" s="1"/>
  <c r="H27" i="1"/>
  <c r="H22" i="1" s="1"/>
  <c r="F27" i="1"/>
  <c r="F22" i="1" s="1"/>
  <c r="I22" i="1"/>
  <c r="G22" i="1"/>
  <c r="E22" i="1"/>
</calcChain>
</file>

<file path=xl/sharedStrings.xml><?xml version="1.0" encoding="utf-8"?>
<sst xmlns="http://schemas.openxmlformats.org/spreadsheetml/2006/main" count="37" uniqueCount="37">
  <si>
    <t>~UC_T</t>
  </si>
  <si>
    <t>UC_N</t>
  </si>
  <si>
    <t>Pset_PN</t>
  </si>
  <si>
    <t>Cset_CN</t>
  </si>
  <si>
    <t>LimType</t>
  </si>
  <si>
    <t>UC_FLO</t>
  </si>
  <si>
    <t>UC_RHSRTS~0</t>
  </si>
  <si>
    <t>UC_Desc</t>
  </si>
  <si>
    <t>UC_RES_50_ANNUAL</t>
  </si>
  <si>
    <t>ELC_FIN_DEM</t>
  </si>
  <si>
    <t>ELC_GRID_RES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</si>
  <si>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</si>
  <si>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</si>
  <si>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</si>
  <si>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</si>
  <si>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</si>
  <si>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</si>
  <si>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</si>
  <si>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</si>
  <si>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</si>
  <si>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</si>
  <si>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</si>
  <si>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</si>
  <si>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</si>
  <si>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</si>
  <si>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</si>
  <si>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</si>
  <si>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Coppied from VT_MODEL_DMD_V01:</t>
  </si>
  <si>
    <t>UC_RHSRT~2030</t>
  </si>
  <si>
    <t>UC_RHSRT~2035</t>
  </si>
  <si>
    <t>UC_RHSRT~2040</t>
  </si>
  <si>
    <t>UC_RHSRT~2045</t>
  </si>
  <si>
    <t>UC_RHSRT~2050</t>
  </si>
  <si>
    <t>Required minimum electricity production from renewable energy sources (RES) [PJ]</t>
  </si>
  <si>
    <r>
      <t xml:space="preserve">~UC_Sets: </t>
    </r>
    <r>
      <rPr>
        <b/>
        <sz val="8"/>
        <color rgb="FFFF0000"/>
        <rFont val="Arial"/>
        <family val="2"/>
        <charset val="238"/>
      </rPr>
      <t>T_E:</t>
    </r>
  </si>
  <si>
    <r>
      <t>~UC_Sets:</t>
    </r>
    <r>
      <rPr>
        <b/>
        <sz val="8"/>
        <color rgb="FFFF0000"/>
        <rFont val="Arial"/>
        <family val="2"/>
        <charset val="238"/>
      </rPr>
      <t xml:space="preserve"> R_E:</t>
    </r>
    <r>
      <rPr>
        <b/>
        <sz val="8"/>
        <rFont val="Arial"/>
        <family val="2"/>
      </rPr>
      <t xml:space="preserve"> NL</t>
    </r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</si>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</sst>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_-* #,##0.00\ _z_ł_-;\-* #,##0.00\ _z_ł_-;_-* &quot;-&quot;??\ _z_ł_-;_-@_-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#,##0.00\ &quot;DM&quot;;[Red]\-#,##0.00\ &quot;DM&quot;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0.000"/>
    <numFmt numFmtId="183" formatCode="_ * #,##0.00_ ;_ * \-#,##0.00_ ;_ * &quot;-&quot;??_ ;_ @_ "/>
    <numFmt numFmtId="184" formatCode="_ * #,##0_ ;_ * \-#,##0_ ;_ * &quot;-&quot;_ ;_ @_ "/>
    <numFmt numFmtId="185" formatCode="_ &quot;kr&quot;\ * #,##0_ ;_ &quot;kr&quot;\ * \-#,##0_ ;_ &quot;kr&quot;\ * &quot;-&quot;_ ;_ @_ "/>
    <numFmt numFmtId="186" formatCode="_ &quot;kr&quot;\ * #,##0.00_ ;_ &quot;kr&quot;\ * \-#,##0.00_ ;_ &quot;kr&quot;\ * &quot;-&quot;??_ ;_ @_ "/>
    <numFmt numFmtId="187" formatCode="\Te\x\t"/>
    <numFmt numFmtId="188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  <family val="2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b/>
      <sz val="8"/>
      <color rgb="FFFF0000"/>
      <name val="Arial"/>
      <family val="2"/>
      <charset val="238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01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2"/>
    </xf>
    <xf numFmtId="0" fontId="24" fillId="0" borderId="0" applyNumberFormat="0" applyFont="0" applyFill="0" applyBorder="0" applyProtection="0">
      <alignment horizontal="left" vertical="center" indent="2"/>
    </xf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104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4" fontId="24" fillId="20" borderId="1">
      <alignment horizontal="center" vertical="center"/>
    </xf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12" fillId="21" borderId="2" applyNumberFormat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27" fillId="0" borderId="0" applyNumberFormat="0" applyFill="0" applyBorder="0" applyAlignment="0" applyProtection="0"/>
    <xf numFmtId="175" fontId="73" fillId="0" borderId="0">
      <protection locked="0"/>
    </xf>
    <xf numFmtId="0" fontId="74" fillId="0" borderId="0"/>
    <xf numFmtId="0" fontId="75" fillId="0" borderId="0"/>
    <xf numFmtId="175" fontId="73" fillId="0" borderId="0">
      <protection locked="0"/>
    </xf>
    <xf numFmtId="176" fontId="73" fillId="0" borderId="0">
      <protection locked="0"/>
    </xf>
    <xf numFmtId="0" fontId="29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73" fillId="0" borderId="0">
      <protection locked="0"/>
    </xf>
    <xf numFmtId="22" fontId="24" fillId="0" borderId="0" applyFont="0" applyFill="0" applyBorder="0" applyAlignment="0" applyProtection="0">
      <alignment wrapText="1"/>
    </xf>
    <xf numFmtId="41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3" fontId="93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05" fillId="41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167" fontId="17" fillId="0" borderId="0" applyFont="0" applyFill="0" applyBorder="0" applyAlignment="0" applyProtection="0"/>
    <xf numFmtId="0" fontId="11" fillId="7" borderId="3" applyNumberFormat="0" applyAlignment="0" applyProtection="0"/>
    <xf numFmtId="0" fontId="19" fillId="0" borderId="5" applyNumberFormat="0" applyFill="0" applyAlignment="0" applyProtection="0"/>
    <xf numFmtId="0" fontId="18" fillId="0" borderId="0" applyNumberForma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11" fontId="24" fillId="0" borderId="0" applyFont="0" applyFill="0" applyBorder="0" applyAlignment="0" applyProtection="0"/>
    <xf numFmtId="11" fontId="24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8" fontId="58" fillId="23" borderId="0" applyNumberFormat="0" applyBorder="0" applyAlignment="0" applyProtection="0"/>
    <xf numFmtId="0" fontId="8" fillId="4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" fillId="0" borderId="6" applyNumberFormat="0" applyFill="0" applyAlignment="0" applyProtection="0"/>
    <xf numFmtId="0" fontId="78" fillId="0" borderId="0">
      <protection locked="0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" fillId="0" borderId="7" applyNumberFormat="0" applyFill="0" applyAlignment="0" applyProtection="0"/>
    <xf numFmtId="0" fontId="78" fillId="0" borderId="0">
      <protection locked="0"/>
    </xf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35" fillId="0" borderId="0" applyNumberFormat="0" applyFill="0" applyBorder="0" applyAlignment="0" applyProtection="0"/>
    <xf numFmtId="0" fontId="79" fillId="0" borderId="9" applyNumberFormat="0" applyFill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0" fontId="58" fillId="24" borderId="10" applyNumberFormat="0" applyBorder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4" fontId="39" fillId="0" borderId="0" applyBorder="0">
      <alignment horizontal="right" vertical="center"/>
    </xf>
    <xf numFmtId="4" fontId="39" fillId="0" borderId="11">
      <alignment horizontal="right" vertical="center"/>
    </xf>
    <xf numFmtId="40" fontId="40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8" fillId="42" borderId="0" applyNumberFormat="0" applyBorder="0" applyAlignment="0" applyProtection="0"/>
    <xf numFmtId="0" fontId="51" fillId="25" borderId="0" applyNumberFormat="0" applyBorder="0" applyAlignment="0" applyProtection="0"/>
    <xf numFmtId="0" fontId="108" fillId="42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37" fontId="80" fillId="0" borderId="0"/>
    <xf numFmtId="43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53" fillId="0" borderId="0" applyNumberFormat="0" applyFill="0" applyBorder="0" applyProtection="0">
      <alignment horizontal="left" vertical="center"/>
    </xf>
    <xf numFmtId="0" fontId="24" fillId="26" borderId="0" applyNumberFormat="0" applyFont="0" applyBorder="0" applyAlignment="0" applyProtection="0"/>
    <xf numFmtId="0" fontId="24" fillId="26" borderId="0" applyNumberFormat="0" applyFont="0" applyBorder="0" applyAlignment="0" applyProtection="0"/>
    <xf numFmtId="0" fontId="55" fillId="0" borderId="0"/>
    <xf numFmtId="0" fontId="54" fillId="0" borderId="0"/>
    <xf numFmtId="0" fontId="21" fillId="0" borderId="0"/>
    <xf numFmtId="0" fontId="67" fillId="0" borderId="0"/>
    <xf numFmtId="0" fontId="17" fillId="0" borderId="0"/>
    <xf numFmtId="0" fontId="72" fillId="0" borderId="0"/>
    <xf numFmtId="0" fontId="67" fillId="0" borderId="0"/>
    <xf numFmtId="0" fontId="6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8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2" fillId="0" borderId="0"/>
    <xf numFmtId="0" fontId="21" fillId="0" borderId="0"/>
    <xf numFmtId="0" fontId="10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5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03" fillId="0" borderId="0"/>
    <xf numFmtId="0" fontId="22" fillId="0" borderId="0"/>
    <xf numFmtId="0" fontId="103" fillId="0" borderId="0"/>
    <xf numFmtId="0" fontId="98" fillId="0" borderId="0"/>
    <xf numFmtId="0" fontId="98" fillId="0" borderId="0"/>
    <xf numFmtId="0" fontId="17" fillId="0" borderId="0"/>
    <xf numFmtId="0" fontId="17" fillId="0" borderId="0"/>
    <xf numFmtId="0" fontId="102" fillId="0" borderId="0"/>
    <xf numFmtId="0" fontId="103" fillId="0" borderId="0"/>
    <xf numFmtId="0" fontId="103" fillId="0" borderId="0"/>
    <xf numFmtId="0" fontId="17" fillId="0" borderId="0"/>
    <xf numFmtId="0" fontId="103" fillId="0" borderId="0"/>
    <xf numFmtId="0" fontId="17" fillId="0" borderId="0"/>
    <xf numFmtId="0" fontId="103" fillId="0" borderId="0"/>
    <xf numFmtId="0" fontId="2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10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183" fontId="96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84" fontId="96" fillId="0" borderId="0" applyFont="0" applyFill="0" applyBorder="0" applyAlignment="0" applyProtection="0"/>
    <xf numFmtId="185" fontId="96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5" borderId="14" applyNumberFormat="0" applyProtection="0">
      <alignment vertical="center"/>
    </xf>
    <xf numFmtId="4" fontId="83" fillId="28" borderId="14" applyNumberFormat="0" applyProtection="0">
      <alignment vertical="center"/>
    </xf>
    <xf numFmtId="4" fontId="82" fillId="28" borderId="14" applyNumberFormat="0" applyProtection="0">
      <alignment horizontal="left" vertical="center" indent="1"/>
    </xf>
    <xf numFmtId="0" fontId="82" fillId="28" borderId="14" applyNumberFormat="0" applyProtection="0">
      <alignment horizontal="left" vertical="top" indent="1"/>
    </xf>
    <xf numFmtId="4" fontId="82" fillId="29" borderId="0" applyNumberFormat="0" applyProtection="0">
      <alignment horizontal="left" vertical="center" indent="1"/>
    </xf>
    <xf numFmtId="4" fontId="84" fillId="3" borderId="14" applyNumberFormat="0" applyProtection="0">
      <alignment horizontal="right" vertical="center"/>
    </xf>
    <xf numFmtId="4" fontId="84" fillId="9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5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8" borderId="14" applyNumberFormat="0" applyProtection="0">
      <alignment horizontal="right" vertical="center"/>
    </xf>
    <xf numFmtId="4" fontId="84" fillId="30" borderId="14" applyNumberFormat="0" applyProtection="0">
      <alignment horizontal="right" vertical="center"/>
    </xf>
    <xf numFmtId="4" fontId="84" fillId="10" borderId="14" applyNumberFormat="0" applyProtection="0">
      <alignment horizontal="right" vertical="center"/>
    </xf>
    <xf numFmtId="4" fontId="82" fillId="31" borderId="15" applyNumberFormat="0" applyProtection="0">
      <alignment horizontal="left" vertical="center" indent="1"/>
    </xf>
    <xf numFmtId="4" fontId="84" fillId="32" borderId="0" applyNumberFormat="0" applyProtection="0">
      <alignment horizontal="left" vertical="center" indent="1"/>
    </xf>
    <xf numFmtId="4" fontId="85" fillId="33" borderId="0" applyNumberFormat="0" applyProtection="0">
      <alignment horizontal="left" vertical="center" indent="1"/>
    </xf>
    <xf numFmtId="4" fontId="84" fillId="34" borderId="14" applyNumberFormat="0" applyProtection="0">
      <alignment horizontal="right" vertical="center"/>
    </xf>
    <xf numFmtId="4" fontId="84" fillId="32" borderId="0" applyNumberFormat="0" applyProtection="0">
      <alignment horizontal="left" vertical="center" indent="1"/>
    </xf>
    <xf numFmtId="4" fontId="84" fillId="29" borderId="0" applyNumberFormat="0" applyProtection="0">
      <alignment horizontal="left" vertical="center" indent="1"/>
    </xf>
    <xf numFmtId="0" fontId="24" fillId="33" borderId="14" applyNumberFormat="0" applyProtection="0">
      <alignment horizontal="left" vertical="center" indent="1"/>
    </xf>
    <xf numFmtId="0" fontId="24" fillId="33" borderId="14" applyNumberFormat="0" applyProtection="0">
      <alignment horizontal="left" vertical="top" indent="1"/>
    </xf>
    <xf numFmtId="0" fontId="24" fillId="29" borderId="14" applyNumberFormat="0" applyProtection="0">
      <alignment horizontal="left" vertical="center" indent="1"/>
    </xf>
    <xf numFmtId="0" fontId="24" fillId="29" borderId="14" applyNumberFormat="0" applyProtection="0">
      <alignment horizontal="left" vertical="top" indent="1"/>
    </xf>
    <xf numFmtId="0" fontId="24" fillId="20" borderId="14" applyNumberFormat="0" applyProtection="0">
      <alignment horizontal="left" vertical="center" indent="1"/>
    </xf>
    <xf numFmtId="0" fontId="24" fillId="20" borderId="14" applyNumberFormat="0" applyProtection="0">
      <alignment horizontal="left" vertical="top" indent="1"/>
    </xf>
    <xf numFmtId="0" fontId="24" fillId="35" borderId="14" applyNumberFormat="0" applyProtection="0">
      <alignment horizontal="left" vertical="center" indent="1"/>
    </xf>
    <xf numFmtId="0" fontId="24" fillId="35" borderId="14" applyNumberFormat="0" applyProtection="0">
      <alignment horizontal="left" vertical="top" indent="1"/>
    </xf>
    <xf numFmtId="4" fontId="84" fillId="24" borderId="14" applyNumberFormat="0" applyProtection="0">
      <alignment vertical="center"/>
    </xf>
    <xf numFmtId="4" fontId="86" fillId="24" borderId="14" applyNumberFormat="0" applyProtection="0">
      <alignment vertical="center"/>
    </xf>
    <xf numFmtId="4" fontId="84" fillId="24" borderId="14" applyNumberFormat="0" applyProtection="0">
      <alignment horizontal="left" vertical="center" indent="1"/>
    </xf>
    <xf numFmtId="0" fontId="84" fillId="24" borderId="14" applyNumberFormat="0" applyProtection="0">
      <alignment horizontal="left" vertical="top" indent="1"/>
    </xf>
    <xf numFmtId="4" fontId="84" fillId="32" borderId="14" applyNumberFormat="0" applyProtection="0">
      <alignment horizontal="right" vertical="center"/>
    </xf>
    <xf numFmtId="4" fontId="86" fillId="32" borderId="14" applyNumberFormat="0" applyProtection="0">
      <alignment horizontal="right" vertical="center"/>
    </xf>
    <xf numFmtId="4" fontId="84" fillId="34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7" fillId="36" borderId="0" applyNumberFormat="0" applyProtection="0">
      <alignment horizontal="left" vertical="center" indent="1"/>
    </xf>
    <xf numFmtId="4" fontId="88" fillId="32" borderId="14" applyNumberFormat="0" applyProtection="0">
      <alignment horizontal="right" vertical="center"/>
    </xf>
    <xf numFmtId="0" fontId="9" fillId="3" borderId="0" applyNumberFormat="0" applyBorder="0" applyAlignment="0" applyProtection="0"/>
    <xf numFmtId="0" fontId="39" fillId="26" borderId="10"/>
    <xf numFmtId="0" fontId="59" fillId="0" borderId="0"/>
    <xf numFmtId="0" fontId="24" fillId="0" borderId="0"/>
    <xf numFmtId="0" fontId="24" fillId="0" borderId="0"/>
    <xf numFmtId="0" fontId="7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7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67" fillId="0" borderId="0"/>
    <xf numFmtId="0" fontId="24" fillId="0" borderId="0"/>
    <xf numFmtId="0" fontId="24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4" fillId="0" borderId="0"/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178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78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79" fontId="24" fillId="0" borderId="0" applyFill="0" applyBorder="0" applyAlignment="0" applyProtection="0">
      <alignment wrapText="1"/>
    </xf>
    <xf numFmtId="180" fontId="24" fillId="0" borderId="0" applyFill="0" applyBorder="0" applyAlignment="0" applyProtection="0">
      <alignment wrapText="1"/>
    </xf>
    <xf numFmtId="0" fontId="24" fillId="0" borderId="0" applyNumberFormat="0" applyFill="0" applyBorder="0" applyProtection="0">
      <alignment horizontal="right" wrapText="1"/>
    </xf>
    <xf numFmtId="0" fontId="24" fillId="0" borderId="0" applyNumberFormat="0" applyFill="0" applyBorder="0">
      <alignment horizontal="right" wrapText="1"/>
    </xf>
    <xf numFmtId="17" fontId="24" fillId="0" borderId="0" applyFill="0" applyBorder="0">
      <alignment horizontal="right" wrapText="1"/>
    </xf>
    <xf numFmtId="8" fontId="24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9" fillId="0" borderId="5" applyNumberFormat="0" applyFill="0" applyAlignment="0" applyProtection="0"/>
    <xf numFmtId="0" fontId="78" fillId="0" borderId="0">
      <protection locked="0"/>
    </xf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7" fontId="58" fillId="28" borderId="0" applyNumberFormat="0" applyBorder="0" applyAlignment="0" applyProtection="0"/>
    <xf numFmtId="37" fontId="58" fillId="0" borderId="0"/>
    <xf numFmtId="3" fontId="90" fillId="0" borderId="9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2" fillId="27" borderId="13" applyNumberFormat="0" applyFont="0" applyAlignment="0" applyProtection="0"/>
    <xf numFmtId="186" fontId="96" fillId="0" borderId="0" applyFont="0" applyFill="0" applyBorder="0" applyAlignment="0" applyProtection="0"/>
    <xf numFmtId="0" fontId="14" fillId="0" borderId="12" applyNumberFormat="0" applyFill="0" applyAlignment="0" applyProtection="0"/>
    <xf numFmtId="44" fontId="24" fillId="0" borderId="0" applyFont="0" applyFill="0" applyBorder="0" applyAlignment="0" applyProtection="0"/>
    <xf numFmtId="172" fontId="4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81" fontId="91" fillId="0" borderId="0">
      <alignment horizontal="right" vertical="center"/>
    </xf>
    <xf numFmtId="0" fontId="15" fillId="22" borderId="4" applyNumberFormat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4" fontId="39" fillId="0" borderId="0"/>
    <xf numFmtId="0" fontId="70" fillId="0" borderId="0" applyNumberFormat="0" applyFill="0" applyBorder="0" applyAlignment="0" applyProtection="0">
      <alignment vertical="center"/>
    </xf>
    <xf numFmtId="0" fontId="17" fillId="0" borderId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7" fillId="0" borderId="0"/>
    <xf numFmtId="0" fontId="112" fillId="0" borderId="0" applyNumberForma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/>
    <xf numFmtId="0" fontId="113" fillId="0" borderId="0"/>
    <xf numFmtId="0" fontId="114" fillId="0" borderId="0"/>
    <xf numFmtId="0" fontId="17" fillId="0" borderId="0"/>
    <xf numFmtId="0" fontId="24" fillId="0" borderId="0"/>
    <xf numFmtId="0" fontId="115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33">
    <xf numFmtId="0" fontId="0" fillId="0" borderId="0" xfId="0"/>
    <xf numFmtId="182" fontId="0" fillId="0" borderId="0" xfId="0" applyNumberFormat="1"/>
    <xf numFmtId="2" fontId="71" fillId="0" borderId="0" xfId="1112" applyNumberFormat="1" applyFont="1"/>
    <xf numFmtId="0" fontId="3" fillId="0" borderId="0" xfId="0" applyFont="1"/>
    <xf numFmtId="0" fontId="92" fillId="0" borderId="0" xfId="0" applyFont="1"/>
    <xf numFmtId="0" fontId="94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187" fontId="110" fillId="44" borderId="0" xfId="0" applyNumberFormat="1" applyFont="1" applyFill="1"/>
    <xf numFmtId="187" fontId="111" fillId="44" borderId="0" xfId="0" applyNumberFormat="1" applyFont="1" applyFill="1"/>
    <xf numFmtId="0" fontId="17" fillId="43" borderId="18" xfId="0" applyFont="1" applyFill="1" applyBorder="1" applyAlignment="1">
      <alignment wrapText="1"/>
    </xf>
    <xf numFmtId="0" fontId="17" fillId="43" borderId="18" xfId="0" applyFont="1" applyFill="1" applyBorder="1"/>
    <xf numFmtId="187" fontId="94" fillId="45" borderId="19" xfId="0" applyNumberFormat="1" applyFont="1" applyFill="1" applyBorder="1" applyAlignment="1">
      <alignment horizontal="center" vertical="center"/>
    </xf>
    <xf numFmtId="187" fontId="94" fillId="45" borderId="19" xfId="0" applyNumberFormat="1" applyFont="1" applyFill="1" applyBorder="1" applyAlignment="1">
      <alignment horizontal="center" vertical="center" wrapText="1"/>
    </xf>
    <xf numFmtId="187" fontId="17" fillId="46" borderId="20" xfId="1060" applyNumberFormat="1" applyFont="1" applyFill="1" applyBorder="1" applyAlignment="1">
      <alignment horizontal="center" vertical="center" wrapText="1"/>
    </xf>
    <xf numFmtId="0" fontId="17" fillId="43" borderId="18" xfId="1114" applyFont="1" applyFill="1" applyBorder="1"/>
    <xf numFmtId="0" fontId="3" fillId="0" borderId="0" xfId="0" quotePrefix="1" applyFont="1" applyAlignment="1">
      <alignment horizontal="left"/>
    </xf>
    <xf numFmtId="0" fontId="58" fillId="0" borderId="0" xfId="0" applyFont="1"/>
    <xf numFmtId="187" fontId="2" fillId="28" borderId="21" xfId="0" applyNumberFormat="1" applyFont="1" applyFill="1" applyBorder="1" applyAlignment="1">
      <alignment horizontal="center" vertical="center"/>
    </xf>
    <xf numFmtId="0" fontId="2" fillId="28" borderId="21" xfId="0" applyFont="1" applyFill="1" applyBorder="1" applyAlignment="1">
      <alignment horizontal="center" vertical="center"/>
    </xf>
    <xf numFmtId="187" fontId="24" fillId="47" borderId="22" xfId="1060" applyNumberFormat="1" applyFill="1" applyBorder="1" applyAlignment="1">
      <alignment horizontal="center" vertical="center" wrapText="1"/>
    </xf>
    <xf numFmtId="18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88" fontId="0" fillId="48" borderId="0" xfId="0" applyNumberFormat="1" applyFill="1" applyAlignment="1">
      <alignment horizontal="center"/>
    </xf>
    <xf numFmtId="188" fontId="0" fillId="49" borderId="0" xfId="0" applyNumberFormat="1" applyFill="1" applyAlignment="1">
      <alignment horizontal="center"/>
    </xf>
    <xf numFmtId="9" fontId="17" fillId="0" borderId="0" xfId="0" applyNumberFormat="1" applyFont="1"/>
    <xf numFmtId="0" fontId="0" fillId="48" borderId="0" xfId="0" applyFill="1" applyAlignment="1">
      <alignment horizontal="center"/>
    </xf>
    <xf numFmtId="3" fontId="17" fillId="43" borderId="18" xfId="1116" applyNumberFormat="1" applyFill="1" applyBorder="1" applyAlignment="1">
      <alignment horizontal="center"/>
    </xf>
    <xf numFmtId="187" fontId="17" fillId="46" borderId="20" xfId="1060" applyNumberFormat="1" applyFont="1" applyFill="1" applyBorder="1" applyAlignment="1">
      <alignment horizontal="center" vertical="center" wrapText="1"/>
    </xf>
    <xf numFmtId="187" fontId="24" fillId="47" borderId="22" xfId="1060" applyNumberFormat="1" applyFill="1" applyBorder="1" applyAlignment="1">
      <alignment horizontal="center" vertical="center" wrapText="1"/>
    </xf>
  </cellXfs>
  <cellStyles count="2201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2" xr:uid="{044DC2AE-750C-4F5B-8469-848B6C31CE5D}"/>
    <cellStyle name="Dezimal [0] 2 4" xfId="2144" xr:uid="{45991FF1-7CE7-4D54-AEF9-5B7CAB0FE255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199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1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3" xr:uid="{1974E945-3EE7-4707-A34F-BB897AE86643}"/>
    <cellStyle name="Komma 3 3" xfId="2145" xr:uid="{B45ECE04-DAC1-4934-846A-6D710EFC848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4" xr:uid="{7CDD5E36-9C9A-4BC1-A559-FEC3C5910260}"/>
    <cellStyle name="Normal - Style1 3" xfId="2146" xr:uid="{F90D66D8-4A91-4ACD-9280-ED5417E49CB9}"/>
    <cellStyle name="Normal 10" xfId="1060" xr:uid="{00000000-0005-0000-0000-000023040000}"/>
    <cellStyle name="Normal 10 15 2" xfId="2198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3" xr:uid="{EF1296C3-C654-4FD6-9A7E-C9F305050889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7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6" xr:uid="{9B02CA93-6F08-4B61-B90A-EC3ACAC45584}"/>
    <cellStyle name="Normal 5 4" xfId="2190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3" xfId="1215" xr:uid="{00000000-0005-0000-0000-0000C0040000}"/>
    <cellStyle name="Normalny 13 14" xfId="1216" xr:uid="{00000000-0005-0000-0000-0000C1040000}"/>
    <cellStyle name="Normalny 13 15" xfId="1217" xr:uid="{00000000-0005-0000-0000-0000C2040000}"/>
    <cellStyle name="Normalny 13 15 2" xfId="1218" xr:uid="{00000000-0005-0000-0000-0000C3040000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8" xr:uid="{10FAC7D3-8F61-4611-9D51-0FA5310C39FE}"/>
    <cellStyle name="Normalny 13 2 2" xfId="1231" xr:uid="{00000000-0005-0000-0000-0000D0040000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3" xfId="1237" xr:uid="{00000000-0005-0000-0000-0000D6040000}"/>
    <cellStyle name="Normalny 13 2 2 2 2 2 3" xfId="1238" xr:uid="{00000000-0005-0000-0000-0000D7040000}"/>
    <cellStyle name="Normalny 13 2 2 2 2 2 4" xfId="2152" xr:uid="{03EE37A0-A66A-4935-A96E-CF62FFCF59B9}"/>
    <cellStyle name="Normalny 13 2 2 2 2 3" xfId="1239" xr:uid="{00000000-0005-0000-0000-0000D8040000}"/>
    <cellStyle name="Normalny 13 2 2 2 2 4" xfId="1240" xr:uid="{00000000-0005-0000-0000-0000D9040000}"/>
    <cellStyle name="Normalny 13 2 2 2 2 5" xfId="2151" xr:uid="{5DDC0F33-8CC7-4CB0-BCE6-77A13995D1ED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3" xfId="1246" xr:uid="{00000000-0005-0000-0000-0000DF040000}"/>
    <cellStyle name="Normalny 13 2 2 2 3 2 3" xfId="1247" xr:uid="{00000000-0005-0000-0000-0000E0040000}"/>
    <cellStyle name="Normalny 13 2 2 2 3 2 4" xfId="2154" xr:uid="{CC1A891E-2166-497E-A729-CCA84FA89014}"/>
    <cellStyle name="Normalny 13 2 2 2 3 3" xfId="1248" xr:uid="{00000000-0005-0000-0000-0000E1040000}"/>
    <cellStyle name="Normalny 13 2 2 2 3 4" xfId="1249" xr:uid="{00000000-0005-0000-0000-0000E2040000}"/>
    <cellStyle name="Normalny 13 2 2 2 3 5" xfId="2153" xr:uid="{3754ED24-DB83-4EC6-8D74-AFF6A138FF17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3" xfId="1254" xr:uid="{00000000-0005-0000-0000-0000E7040000}"/>
    <cellStyle name="Normalny 13 2 2 2 4 3" xfId="1255" xr:uid="{00000000-0005-0000-0000-0000E8040000}"/>
    <cellStyle name="Normalny 13 2 2 2 4 4" xfId="2155" xr:uid="{056FB9E9-1C91-4F4C-8285-982C809A769D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3" xfId="1259" xr:uid="{00000000-0005-0000-0000-0000EC040000}"/>
    <cellStyle name="Normalny 13 2 2 2 5 3" xfId="1260" xr:uid="{00000000-0005-0000-0000-0000ED040000}"/>
    <cellStyle name="Normalny 13 2 2 2 5 4" xfId="2156" xr:uid="{0581889A-7C3B-47A1-A539-E6331E771975}"/>
    <cellStyle name="Normalny 13 2 2 2 6" xfId="1261" xr:uid="{00000000-0005-0000-0000-0000EE040000}"/>
    <cellStyle name="Normalny 13 2 2 2 7" xfId="1262" xr:uid="{00000000-0005-0000-0000-0000EF040000}"/>
    <cellStyle name="Normalny 13 2 2 2 8" xfId="2150" xr:uid="{80C9BE03-A039-4739-9CEF-7DD392C86199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3" xfId="1268" xr:uid="{00000000-0005-0000-0000-0000F5040000}"/>
    <cellStyle name="Normalny 13 2 2 3 2 3" xfId="1269" xr:uid="{00000000-0005-0000-0000-0000F6040000}"/>
    <cellStyle name="Normalny 13 2 2 3 2 4" xfId="2158" xr:uid="{AD05D97D-BE2D-49DA-9963-0233C5447516}"/>
    <cellStyle name="Normalny 13 2 2 3 3" xfId="1270" xr:uid="{00000000-0005-0000-0000-0000F7040000}"/>
    <cellStyle name="Normalny 13 2 2 3 4" xfId="1271" xr:uid="{00000000-0005-0000-0000-0000F8040000}"/>
    <cellStyle name="Normalny 13 2 2 3 5" xfId="2157" xr:uid="{A8346063-D5CE-434F-A2A5-777DD4EA4865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3" xfId="1277" xr:uid="{00000000-0005-0000-0000-0000FE040000}"/>
    <cellStyle name="Normalny 13 2 2 4 2 3" xfId="1278" xr:uid="{00000000-0005-0000-0000-0000FF040000}"/>
    <cellStyle name="Normalny 13 2 2 4 2 4" xfId="2160" xr:uid="{C42174BC-B058-496B-A5C5-C061DF1EDE8E}"/>
    <cellStyle name="Normalny 13 2 2 4 3" xfId="1279" xr:uid="{00000000-0005-0000-0000-000000050000}"/>
    <cellStyle name="Normalny 13 2 2 4 4" xfId="1280" xr:uid="{00000000-0005-0000-0000-000001050000}"/>
    <cellStyle name="Normalny 13 2 2 4 5" xfId="2159" xr:uid="{EB4B5CD0-03DB-4BFF-A71C-EA81656DABE3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3" xfId="1285" xr:uid="{00000000-0005-0000-0000-000006050000}"/>
    <cellStyle name="Normalny 13 2 2 5 3" xfId="1286" xr:uid="{00000000-0005-0000-0000-000007050000}"/>
    <cellStyle name="Normalny 13 2 2 5 4" xfId="2161" xr:uid="{C3C8C88D-4F90-4AF0-B1DB-3D55CB6649A8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3" xfId="1290" xr:uid="{00000000-0005-0000-0000-00000B050000}"/>
    <cellStyle name="Normalny 13 2 2 6 3" xfId="1291" xr:uid="{00000000-0005-0000-0000-00000C050000}"/>
    <cellStyle name="Normalny 13 2 2 6 4" xfId="2162" xr:uid="{07F190B6-C328-4514-ADFD-5476402B5A80}"/>
    <cellStyle name="Normalny 13 2 2 7" xfId="1292" xr:uid="{00000000-0005-0000-0000-00000D050000}"/>
    <cellStyle name="Normalny 13 2 2 8" xfId="1293" xr:uid="{00000000-0005-0000-0000-00000E050000}"/>
    <cellStyle name="Normalny 13 2 2 9" xfId="2149" xr:uid="{EC8D4FE5-0E58-4A9B-8E71-996677A1ED4B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3" xfId="1300" xr:uid="{00000000-0005-0000-0000-000015050000}"/>
    <cellStyle name="Normalny 13 2 3 2 2 3" xfId="1301" xr:uid="{00000000-0005-0000-0000-000016050000}"/>
    <cellStyle name="Normalny 13 2 3 2 2 4" xfId="2165" xr:uid="{6608F911-8164-47DF-BD65-860459ECBCED}"/>
    <cellStyle name="Normalny 13 2 3 2 3" xfId="1302" xr:uid="{00000000-0005-0000-0000-000017050000}"/>
    <cellStyle name="Normalny 13 2 3 2 4" xfId="1303" xr:uid="{00000000-0005-0000-0000-000018050000}"/>
    <cellStyle name="Normalny 13 2 3 2 5" xfId="2164" xr:uid="{AFFE3B75-6CC0-4678-9871-22CB2CB1FD00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3" xfId="1309" xr:uid="{00000000-0005-0000-0000-00001E050000}"/>
    <cellStyle name="Normalny 13 2 3 3 2 3" xfId="1310" xr:uid="{00000000-0005-0000-0000-00001F050000}"/>
    <cellStyle name="Normalny 13 2 3 3 2 4" xfId="2167" xr:uid="{19B3EB98-0053-4C9B-A1C9-D7BC9E38E299}"/>
    <cellStyle name="Normalny 13 2 3 3 3" xfId="1311" xr:uid="{00000000-0005-0000-0000-000020050000}"/>
    <cellStyle name="Normalny 13 2 3 3 4" xfId="1312" xr:uid="{00000000-0005-0000-0000-000021050000}"/>
    <cellStyle name="Normalny 13 2 3 3 5" xfId="2166" xr:uid="{B1EEFC67-CEC5-4194-BB47-F2968BA5B3EC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3" xfId="1317" xr:uid="{00000000-0005-0000-0000-000026050000}"/>
    <cellStyle name="Normalny 13 2 3 4 3" xfId="1318" xr:uid="{00000000-0005-0000-0000-000027050000}"/>
    <cellStyle name="Normalny 13 2 3 4 4" xfId="2168" xr:uid="{1BEB5766-3A96-41CB-8E57-1A18EE898A86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3" xfId="1322" xr:uid="{00000000-0005-0000-0000-00002B050000}"/>
    <cellStyle name="Normalny 13 2 3 5 3" xfId="1323" xr:uid="{00000000-0005-0000-0000-00002C050000}"/>
    <cellStyle name="Normalny 13 2 3 5 4" xfId="2169" xr:uid="{50E1B735-586C-43EA-95DA-DBDA49920DF0}"/>
    <cellStyle name="Normalny 13 2 3 6" xfId="1324" xr:uid="{00000000-0005-0000-0000-00002D050000}"/>
    <cellStyle name="Normalny 13 2 3 7" xfId="1325" xr:uid="{00000000-0005-0000-0000-00002E050000}"/>
    <cellStyle name="Normalny 13 2 3 8" xfId="2163" xr:uid="{ADDE951D-F11B-4039-AB5D-316F28F015C7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3" xfId="1331" xr:uid="{00000000-0005-0000-0000-000034050000}"/>
    <cellStyle name="Normalny 13 2 4 2 3" xfId="1332" xr:uid="{00000000-0005-0000-0000-000035050000}"/>
    <cellStyle name="Normalny 13 2 4 2 4" xfId="2171" xr:uid="{82AA043F-3043-4B82-804D-ABBC20157FBD}"/>
    <cellStyle name="Normalny 13 2 4 3" xfId="1333" xr:uid="{00000000-0005-0000-0000-000036050000}"/>
    <cellStyle name="Normalny 13 2 4 4" xfId="1334" xr:uid="{00000000-0005-0000-0000-000037050000}"/>
    <cellStyle name="Normalny 13 2 4 5" xfId="2170" xr:uid="{840BC4E6-70D0-487D-A079-93CBB16CBC50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3" xfId="1340" xr:uid="{00000000-0005-0000-0000-00003D050000}"/>
    <cellStyle name="Normalny 13 2 5 2 3" xfId="1341" xr:uid="{00000000-0005-0000-0000-00003E050000}"/>
    <cellStyle name="Normalny 13 2 5 2 4" xfId="2173" xr:uid="{14FEAAEC-628E-4C90-81AA-C51F8F2C9129}"/>
    <cellStyle name="Normalny 13 2 5 3" xfId="1342" xr:uid="{00000000-0005-0000-0000-00003F050000}"/>
    <cellStyle name="Normalny 13 2 5 4" xfId="1343" xr:uid="{00000000-0005-0000-0000-000040050000}"/>
    <cellStyle name="Normalny 13 2 5 5" xfId="2172" xr:uid="{EB3FD025-E88E-4DCD-9CA7-E6916687AD63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3" xfId="1348" xr:uid="{00000000-0005-0000-0000-000045050000}"/>
    <cellStyle name="Normalny 13 2 6 3" xfId="1349" xr:uid="{00000000-0005-0000-0000-000046050000}"/>
    <cellStyle name="Normalny 13 2 6 4" xfId="2174" xr:uid="{5D061337-2A4C-4464-9DAD-F9576C6DF9CA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3" xfId="1353" xr:uid="{00000000-0005-0000-0000-00004A050000}"/>
    <cellStyle name="Normalny 13 2 7 3" xfId="1354" xr:uid="{00000000-0005-0000-0000-00004B050000}"/>
    <cellStyle name="Normalny 13 2 7 4" xfId="2175" xr:uid="{FD274B64-8CFC-4386-A405-08316D2C7A62}"/>
    <cellStyle name="Normalny 13 2 8" xfId="1355" xr:uid="{00000000-0005-0000-0000-00004C050000}"/>
    <cellStyle name="Normalny 13 2 9" xfId="1356" xr:uid="{00000000-0005-0000-0000-00004D050000}"/>
    <cellStyle name="Normalny 13 2_CHP" xfId="1357" xr:uid="{00000000-0005-0000-0000-00004E050000}"/>
    <cellStyle name="Normalny 13 20" xfId="1358" xr:uid="{00000000-0005-0000-0000-00004F050000}"/>
    <cellStyle name="Normalny 13 21" xfId="1359" xr:uid="{00000000-0005-0000-0000-000050050000}"/>
    <cellStyle name="Normalny 13 22" xfId="1360" xr:uid="{00000000-0005-0000-0000-000051050000}"/>
    <cellStyle name="Normalny 13 23" xfId="1361" xr:uid="{00000000-0005-0000-0000-000052050000}"/>
    <cellStyle name="Normalny 13 24" xfId="1362" xr:uid="{00000000-0005-0000-0000-000053050000}"/>
    <cellStyle name="Normalny 13 25" xfId="1363" xr:uid="{00000000-0005-0000-0000-000054050000}"/>
    <cellStyle name="Normalny 13 26" xfId="2147" xr:uid="{989F6786-ADB6-453A-B044-11B52058B98D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3" xfId="1418" xr:uid="{00000000-0005-0000-0000-00008B050000}"/>
    <cellStyle name="Normalny 13 6 2 2 3" xfId="1419" xr:uid="{00000000-0005-0000-0000-00008C050000}"/>
    <cellStyle name="Normalny 13 6 2 2 4" xfId="2178" xr:uid="{0419EB6B-17E6-41AF-8B27-C816CD6D2D47}"/>
    <cellStyle name="Normalny 13 6 2 3" xfId="1420" xr:uid="{00000000-0005-0000-0000-00008D050000}"/>
    <cellStyle name="Normalny 13 6 2 4" xfId="1421" xr:uid="{00000000-0005-0000-0000-00008E050000}"/>
    <cellStyle name="Normalny 13 6 2 5" xfId="2177" xr:uid="{570B4DE2-0353-435C-BA7B-DA1DC2DD9CD9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3" xfId="1427" xr:uid="{00000000-0005-0000-0000-000094050000}"/>
    <cellStyle name="Normalny 13 6 3 2 3" xfId="1428" xr:uid="{00000000-0005-0000-0000-000095050000}"/>
    <cellStyle name="Normalny 13 6 3 2 4" xfId="2180" xr:uid="{AF8EC05A-83CA-4E1D-AE44-B2B835776E08}"/>
    <cellStyle name="Normalny 13 6 3 3" xfId="1429" xr:uid="{00000000-0005-0000-0000-000096050000}"/>
    <cellStyle name="Normalny 13 6 3 4" xfId="1430" xr:uid="{00000000-0005-0000-0000-000097050000}"/>
    <cellStyle name="Normalny 13 6 3 5" xfId="2179" xr:uid="{77064398-4B83-4107-ABD6-97EC604A6A92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3" xfId="1435" xr:uid="{00000000-0005-0000-0000-00009C050000}"/>
    <cellStyle name="Normalny 13 6 4 3" xfId="1436" xr:uid="{00000000-0005-0000-0000-00009D050000}"/>
    <cellStyle name="Normalny 13 6 4 4" xfId="2181" xr:uid="{22DC0381-C663-4BE4-B95D-76C3C68F0422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3" xfId="1440" xr:uid="{00000000-0005-0000-0000-0000A1050000}"/>
    <cellStyle name="Normalny 13 6 5 3" xfId="1441" xr:uid="{00000000-0005-0000-0000-0000A2050000}"/>
    <cellStyle name="Normalny 13 6 5 4" xfId="2182" xr:uid="{DE56E6C7-1D99-4D39-9A03-A93E57E61D1A}"/>
    <cellStyle name="Normalny 13 6 6" xfId="1442" xr:uid="{00000000-0005-0000-0000-0000A3050000}"/>
    <cellStyle name="Normalny 13 6 7" xfId="1443" xr:uid="{00000000-0005-0000-0000-0000A4050000}"/>
    <cellStyle name="Normalny 13 6 8" xfId="2176" xr:uid="{83D96AE4-A921-49C9-8C3B-8EACCA00F82B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3" xfId="1449" xr:uid="{00000000-0005-0000-0000-0000AA050000}"/>
    <cellStyle name="Normalny 13 7 2 3" xfId="1450" xr:uid="{00000000-0005-0000-0000-0000AB050000}"/>
    <cellStyle name="Normalny 13 7 2 4" xfId="2184" xr:uid="{6138C99D-5EE9-4523-89C1-A747EA6AFD0E}"/>
    <cellStyle name="Normalny 13 7 3" xfId="1451" xr:uid="{00000000-0005-0000-0000-0000AC050000}"/>
    <cellStyle name="Normalny 13 7 4" xfId="1452" xr:uid="{00000000-0005-0000-0000-0000AD050000}"/>
    <cellStyle name="Normalny 13 7 5" xfId="2183" xr:uid="{1B7C0450-6D30-4424-94BF-961FA41F7308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3" xfId="1458" xr:uid="{00000000-0005-0000-0000-0000B3050000}"/>
    <cellStyle name="Normalny 13 8 2 3" xfId="1459" xr:uid="{00000000-0005-0000-0000-0000B4050000}"/>
    <cellStyle name="Normalny 13 8 2 4" xfId="2186" xr:uid="{B9795E1C-7E65-4582-A6AC-42A175847B31}"/>
    <cellStyle name="Normalny 13 8 3" xfId="1460" xr:uid="{00000000-0005-0000-0000-0000B5050000}"/>
    <cellStyle name="Normalny 13 8 4" xfId="1461" xr:uid="{00000000-0005-0000-0000-0000B6050000}"/>
    <cellStyle name="Normalny 13 8 5" xfId="2185" xr:uid="{1B71D062-D0B5-4FC7-A3B8-F5D499BEFA36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3" xfId="1466" xr:uid="{00000000-0005-0000-0000-0000BB050000}"/>
    <cellStyle name="Normalny 13 9 3" xfId="1467" xr:uid="{00000000-0005-0000-0000-0000BC050000}"/>
    <cellStyle name="Normalny 13 9 4" xfId="2187" xr:uid="{77DF589D-4028-42EB-8B6E-B0358F265D58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4" xfId="2195" xr:uid="{470AD680-3B8A-4BF0-B2F0-6980A5E342EB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3" xfId="1553" xr:uid="{00000000-0005-0000-0000-000012060000}"/>
    <cellStyle name="Normalny 27" xfId="1554" xr:uid="{00000000-0005-0000-0000-000013060000}"/>
    <cellStyle name="Normalny 28" xfId="1555" xr:uid="{00000000-0005-0000-0000-000014060000}"/>
    <cellStyle name="Normalny 29" xfId="1556" xr:uid="{00000000-0005-0000-0000-000015060000}"/>
    <cellStyle name="Normalny 3" xfId="1557" xr:uid="{00000000-0005-0000-0000-000016060000}"/>
    <cellStyle name="Normalny 30" xfId="1558" xr:uid="{00000000-0005-0000-0000-000017060000}"/>
    <cellStyle name="Normalny 31" xfId="1559" xr:uid="{00000000-0005-0000-0000-000018060000}"/>
    <cellStyle name="Normalny 32" xfId="1560" xr:uid="{00000000-0005-0000-0000-000019060000}"/>
    <cellStyle name="Normalny 33" xfId="1561" xr:uid="{00000000-0005-0000-0000-00001A060000}"/>
    <cellStyle name="Normalny 34" xfId="1562" xr:uid="{00000000-0005-0000-0000-00001B060000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0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8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89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ect" xfId="2064" xr:uid="{00000000-0005-0000-0000-000012080000}"/>
    <cellStyle name="Uwaga" xfId="2065" xr:uid="{00000000-0005-0000-0000-000013080000}"/>
    <cellStyle name="Uwaga 10" xfId="2066" xr:uid="{00000000-0005-0000-0000-000014080000}"/>
    <cellStyle name="Uwaga 10 2" xfId="2067" xr:uid="{00000000-0005-0000-0000-000015080000}"/>
    <cellStyle name="Uwaga 10 3" xfId="2068" xr:uid="{00000000-0005-0000-0000-000016080000}"/>
    <cellStyle name="Uwaga 10 3 2" xfId="2069" xr:uid="{00000000-0005-0000-0000-000017080000}"/>
    <cellStyle name="Uwaga 10 3 2 2" xfId="2070" xr:uid="{00000000-0005-0000-0000-000018080000}"/>
    <cellStyle name="Uwaga 10 3 2 3" xfId="2071" xr:uid="{00000000-0005-0000-0000-000019080000}"/>
    <cellStyle name="Uwaga 10 3 3" xfId="2072" xr:uid="{00000000-0005-0000-0000-00001A080000}"/>
    <cellStyle name="Uwaga 10 3 4" xfId="2073" xr:uid="{00000000-0005-0000-0000-00001B080000}"/>
    <cellStyle name="Uwaga 10 3 4 2" xfId="2074" xr:uid="{00000000-0005-0000-0000-00001C080000}"/>
    <cellStyle name="Uwaga 10 3_CHP" xfId="2075" xr:uid="{00000000-0005-0000-0000-00001D080000}"/>
    <cellStyle name="Uwaga 10_CHP" xfId="2076" xr:uid="{00000000-0005-0000-0000-00001E080000}"/>
    <cellStyle name="Uwaga 11" xfId="2077" xr:uid="{00000000-0005-0000-0000-00001F080000}"/>
    <cellStyle name="Uwaga 11 2" xfId="2078" xr:uid="{00000000-0005-0000-0000-000020080000}"/>
    <cellStyle name="Uwaga 11 2 2" xfId="2079" xr:uid="{00000000-0005-0000-0000-000021080000}"/>
    <cellStyle name="Uwaga 11 2 3" xfId="2080" xr:uid="{00000000-0005-0000-0000-000022080000}"/>
    <cellStyle name="Uwaga 11 3" xfId="2081" xr:uid="{00000000-0005-0000-0000-000023080000}"/>
    <cellStyle name="Uwaga 11 4" xfId="2082" xr:uid="{00000000-0005-0000-0000-000024080000}"/>
    <cellStyle name="Uwaga 11 5" xfId="2083" xr:uid="{00000000-0005-0000-0000-000025080000}"/>
    <cellStyle name="Uwaga 11 5 2" xfId="2084" xr:uid="{00000000-0005-0000-0000-000026080000}"/>
    <cellStyle name="Uwaga 11_CHP" xfId="2085" xr:uid="{00000000-0005-0000-0000-000027080000}"/>
    <cellStyle name="Uwaga 12" xfId="2086" xr:uid="{00000000-0005-0000-0000-000028080000}"/>
    <cellStyle name="Uwaga 13" xfId="2087" xr:uid="{00000000-0005-0000-0000-000029080000}"/>
    <cellStyle name="Uwaga 14" xfId="2088" xr:uid="{00000000-0005-0000-0000-00002A080000}"/>
    <cellStyle name="Uwaga 15" xfId="2089" xr:uid="{00000000-0005-0000-0000-00002B080000}"/>
    <cellStyle name="Uwaga 2" xfId="2090" xr:uid="{00000000-0005-0000-0000-00002C080000}"/>
    <cellStyle name="Uwaga 3" xfId="2091" xr:uid="{00000000-0005-0000-0000-00002D080000}"/>
    <cellStyle name="Uwaga 4" xfId="2092" xr:uid="{00000000-0005-0000-0000-00002E080000}"/>
    <cellStyle name="Uwaga 5" xfId="2093" xr:uid="{00000000-0005-0000-0000-00002F080000}"/>
    <cellStyle name="Uwaga 6" xfId="2094" xr:uid="{00000000-0005-0000-0000-000030080000}"/>
    <cellStyle name="Uwaga 7" xfId="2095" xr:uid="{00000000-0005-0000-0000-000031080000}"/>
    <cellStyle name="Uwaga 8" xfId="2096" xr:uid="{00000000-0005-0000-0000-000032080000}"/>
    <cellStyle name="Uwaga 9" xfId="2097" xr:uid="{00000000-0005-0000-0000-000033080000}"/>
    <cellStyle name="Uwaga 9 2" xfId="2098" xr:uid="{00000000-0005-0000-0000-000034080000}"/>
    <cellStyle name="Uwaga 9 3" xfId="2099" xr:uid="{00000000-0005-0000-0000-000035080000}"/>
    <cellStyle name="Uwaga 9 3 2" xfId="2100" xr:uid="{00000000-0005-0000-0000-000036080000}"/>
    <cellStyle name="Uwaga 9 3 2 2" xfId="2101" xr:uid="{00000000-0005-0000-0000-000037080000}"/>
    <cellStyle name="Uwaga 9 3 2 3" xfId="2102" xr:uid="{00000000-0005-0000-0000-000038080000}"/>
    <cellStyle name="Uwaga 9 3 3" xfId="2103" xr:uid="{00000000-0005-0000-0000-000039080000}"/>
    <cellStyle name="Uwaga 9 3 4" xfId="2104" xr:uid="{00000000-0005-0000-0000-00003A080000}"/>
    <cellStyle name="Uwaga 9 3 4 2" xfId="2105" xr:uid="{00000000-0005-0000-0000-00003B080000}"/>
    <cellStyle name="Uwaga 9 3_CHP" xfId="2106" xr:uid="{00000000-0005-0000-0000-00003C080000}"/>
    <cellStyle name="Uwaga 9_CHP" xfId="2107" xr:uid="{00000000-0005-0000-0000-00003D080000}"/>
    <cellStyle name="Uwaga_Demand" xfId="2108" xr:uid="{00000000-0005-0000-0000-00003E080000}"/>
    <cellStyle name="Valuutta_Layo9704" xfId="2109" xr:uid="{00000000-0005-0000-0000-00003F080000}"/>
    <cellStyle name="Verknüpfte Zelle 2" xfId="2110" xr:uid="{00000000-0005-0000-0000-000040080000}"/>
    <cellStyle name="Währung 2" xfId="2111" xr:uid="{00000000-0005-0000-0000-000041080000}"/>
    <cellStyle name="Währung 2 2" xfId="2112" xr:uid="{00000000-0005-0000-0000-000042080000}"/>
    <cellStyle name="Warnender Text 2" xfId="2113" xr:uid="{00000000-0005-0000-0000-000043080000}"/>
    <cellStyle name="Warning Text 2" xfId="2114" xr:uid="{00000000-0005-0000-0000-000044080000}"/>
    <cellStyle name="Warning Text 3" xfId="2115" xr:uid="{00000000-0005-0000-0000-000045080000}"/>
    <cellStyle name="X10_Figs 21 dec" xfId="2116" xr:uid="{00000000-0005-0000-0000-000046080000}"/>
    <cellStyle name="Zelle überprüfen 2" xfId="2117" xr:uid="{00000000-0005-0000-0000-000047080000}"/>
    <cellStyle name="Złe" xfId="2118" xr:uid="{00000000-0005-0000-0000-000048080000}"/>
    <cellStyle name="Złe 10" xfId="2119" xr:uid="{00000000-0005-0000-0000-000049080000}"/>
    <cellStyle name="Złe 10 2" xfId="2120" xr:uid="{00000000-0005-0000-0000-00004A080000}"/>
    <cellStyle name="Złe 10 3" xfId="2121" xr:uid="{00000000-0005-0000-0000-00004B080000}"/>
    <cellStyle name="Złe 10_COM_BND" xfId="2122" xr:uid="{00000000-0005-0000-0000-00004C080000}"/>
    <cellStyle name="Złe 11" xfId="2123" xr:uid="{00000000-0005-0000-0000-00004D080000}"/>
    <cellStyle name="Złe 11 2" xfId="2124" xr:uid="{00000000-0005-0000-0000-00004E080000}"/>
    <cellStyle name="Złe 12" xfId="2125" xr:uid="{00000000-0005-0000-0000-00004F080000}"/>
    <cellStyle name="Złe 13" xfId="2126" xr:uid="{00000000-0005-0000-0000-000050080000}"/>
    <cellStyle name="Złe 14" xfId="2127" xr:uid="{00000000-0005-0000-0000-000051080000}"/>
    <cellStyle name="Złe 15" xfId="2128" xr:uid="{00000000-0005-0000-0000-000052080000}"/>
    <cellStyle name="Złe 2" xfId="2129" xr:uid="{00000000-0005-0000-0000-000053080000}"/>
    <cellStyle name="Złe 3" xfId="2130" xr:uid="{00000000-0005-0000-0000-000054080000}"/>
    <cellStyle name="Złe 4" xfId="2131" xr:uid="{00000000-0005-0000-0000-000055080000}"/>
    <cellStyle name="Złe 5" xfId="2132" xr:uid="{00000000-0005-0000-0000-000056080000}"/>
    <cellStyle name="Złe 6" xfId="2133" xr:uid="{00000000-0005-0000-0000-000057080000}"/>
    <cellStyle name="Złe 7" xfId="2134" xr:uid="{00000000-0005-0000-0000-000058080000}"/>
    <cellStyle name="Złe 8" xfId="2135" xr:uid="{00000000-0005-0000-0000-000059080000}"/>
    <cellStyle name="Złe 9" xfId="2136" xr:uid="{00000000-0005-0000-0000-00005A080000}"/>
    <cellStyle name="Złe 9 2" xfId="2137" xr:uid="{00000000-0005-0000-0000-00005B080000}"/>
    <cellStyle name="Złe 9 3" xfId="2138" xr:uid="{00000000-0005-0000-0000-00005C080000}"/>
    <cellStyle name="Złe 9_COM_BND" xfId="2139" xr:uid="{00000000-0005-0000-0000-00005D080000}"/>
    <cellStyle name="Złe_CHP" xfId="2140" xr:uid="{00000000-0005-0000-0000-00005E080000}"/>
    <cellStyle name="Обычный_2++_CRFReport-template" xfId="2141" xr:uid="{00000000-0005-0000-0000-00005F080000}"/>
    <cellStyle name="已访问的超链接" xfId="2142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0"/>
  <sheetViews>
    <sheetView tabSelected="1" zoomScale="114" zoomScaleNormal="115" workbookViewId="0">
      <selection activeCell="E10" sqref="E10"/>
    </sheetView>
  </sheetViews>
  <sheetFormatPr baseColWidth="10" defaultColWidth="8.83203125" defaultRowHeight="13"/>
  <cols>
    <col min="1" max="1" width="2.83203125" customWidth="1"/>
    <col min="2" max="2" width="24.5" customWidth="1"/>
    <col min="3" max="3" width="17.5" customWidth="1"/>
    <col min="4" max="4" width="18.33203125" customWidth="1"/>
    <col min="5" max="5" width="12.1640625" customWidth="1"/>
    <col min="6" max="6" width="12" customWidth="1"/>
    <col min="7" max="7" width="12.5" customWidth="1"/>
    <col min="8" max="10" width="12.6640625" customWidth="1"/>
    <col min="11" max="11" width="13.83203125" customWidth="1"/>
    <col min="12" max="15" width="15.33203125" customWidth="1"/>
  </cols>
  <sheetData>
    <row r="2" spans="2:21" ht="15" customHeight="1">
      <c r="B2" s="6" t="s">
        <v>35</v>
      </c>
      <c r="D2" s="10" t="s">
        <v>33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34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0</v>
      </c>
      <c r="F5" s="8"/>
      <c r="G5" s="7"/>
      <c r="H5" s="7"/>
      <c r="I5" s="7"/>
      <c r="L5" s="7"/>
      <c r="M5" s="7"/>
    </row>
    <row r="6" spans="2:21" ht="31.75" customHeight="1"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6</v>
      </c>
      <c r="M6" s="13" t="s">
        <v>7</v>
      </c>
    </row>
    <row r="7" spans="2:21" ht="47.25" customHeight="1" thickBot="1"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31" t="s">
        <v>16</v>
      </c>
      <c r="H7" s="31"/>
      <c r="I7" s="31"/>
      <c r="J7" s="31"/>
      <c r="K7" s="31"/>
      <c r="L7" s="15" t="s">
        <v>17</v>
      </c>
      <c r="M7" s="15" t="s">
        <v>18</v>
      </c>
    </row>
    <row r="8" spans="2:21" ht="42" customHeight="1" thickBot="1">
      <c r="B8" s="16" t="s">
        <v>8</v>
      </c>
      <c r="C8" s="11" t="s">
        <v>9</v>
      </c>
      <c r="D8" s="16" t="s">
        <v>10</v>
      </c>
      <c r="E8" s="12" t="s">
        <v>36</v>
      </c>
      <c r="F8" s="12">
        <v>1</v>
      </c>
      <c r="G8" s="30">
        <f>0.5*G22</f>
        <v>282.60000000000002</v>
      </c>
      <c r="H8" s="30">
        <f t="shared" ref="H8:K8" si="0">0.5*H22</f>
        <v>349.01712328767064</v>
      </c>
      <c r="I8" s="30">
        <f t="shared" si="0"/>
        <v>414</v>
      </c>
      <c r="J8" s="30">
        <f t="shared" si="0"/>
        <v>476.97493150684971</v>
      </c>
      <c r="K8" s="30">
        <f t="shared" si="0"/>
        <v>540.95383561644087</v>
      </c>
      <c r="L8" s="12">
        <v>5</v>
      </c>
      <c r="M8" s="11"/>
    </row>
    <row r="10" spans="2:21">
      <c r="B10" s="5"/>
    </row>
    <row r="17" spans="3:11">
      <c r="D17" s="5" t="s">
        <v>27</v>
      </c>
    </row>
    <row r="19" spans="3:11">
      <c r="C19" s="17"/>
      <c r="D19" s="18"/>
    </row>
    <row r="20" spans="3:11">
      <c r="D20" s="19" t="s">
        <v>19</v>
      </c>
      <c r="E20" s="20">
        <v>2023</v>
      </c>
      <c r="F20" s="20">
        <v>2025</v>
      </c>
      <c r="G20" s="20">
        <v>2030</v>
      </c>
      <c r="H20" s="20">
        <v>2035</v>
      </c>
      <c r="I20" s="20">
        <v>2040</v>
      </c>
      <c r="J20" s="20">
        <v>2045</v>
      </c>
      <c r="K20" s="20">
        <v>2050</v>
      </c>
    </row>
    <row r="21" spans="3:11" ht="38.25" customHeight="1">
      <c r="D21" s="21" t="s">
        <v>20</v>
      </c>
      <c r="E21" s="32" t="s">
        <v>21</v>
      </c>
      <c r="F21" s="32"/>
      <c r="G21" s="32"/>
      <c r="H21" s="32"/>
      <c r="I21" s="32"/>
      <c r="J21" s="32"/>
      <c r="K21" s="32"/>
    </row>
    <row r="22" spans="3:11">
      <c r="D22" t="s">
        <v>22</v>
      </c>
      <c r="E22" s="22">
        <f t="shared" ref="E22:K22" si="1">E27*3.6</f>
        <v>393.80400000000003</v>
      </c>
      <c r="F22" s="22">
        <f t="shared" si="1"/>
        <v>442.11863013698968</v>
      </c>
      <c r="G22" s="22">
        <f t="shared" si="1"/>
        <v>565.20000000000005</v>
      </c>
      <c r="H22" s="22">
        <f t="shared" si="1"/>
        <v>698.03424657534129</v>
      </c>
      <c r="I22" s="22">
        <f t="shared" si="1"/>
        <v>828</v>
      </c>
      <c r="J22" s="22">
        <f t="shared" si="1"/>
        <v>953.94986301369943</v>
      </c>
      <c r="K22" s="22">
        <f t="shared" si="1"/>
        <v>1081.9076712328817</v>
      </c>
    </row>
    <row r="23" spans="3:11">
      <c r="E23" s="23"/>
      <c r="F23" s="23"/>
      <c r="G23" s="23"/>
      <c r="H23" s="23"/>
      <c r="I23" s="23"/>
      <c r="J23" s="23"/>
      <c r="K23" s="23"/>
    </row>
    <row r="24" spans="3:11">
      <c r="E24" s="24" t="s">
        <v>23</v>
      </c>
      <c r="F24" s="23"/>
      <c r="G24" s="23"/>
      <c r="H24" s="23"/>
      <c r="I24" s="23"/>
      <c r="J24" s="23"/>
      <c r="K24" s="23"/>
    </row>
    <row r="25" spans="3:11">
      <c r="E25" s="23"/>
      <c r="F25" s="23"/>
      <c r="G25" s="23"/>
      <c r="H25" s="23"/>
      <c r="I25" s="23"/>
      <c r="J25" s="23"/>
      <c r="K25" s="23"/>
    </row>
    <row r="26" spans="3:11">
      <c r="E26" s="20">
        <v>2023</v>
      </c>
      <c r="F26" s="20">
        <v>2025</v>
      </c>
      <c r="G26" s="20">
        <v>2030</v>
      </c>
      <c r="H26" s="20">
        <v>2035</v>
      </c>
      <c r="I26" s="20">
        <v>2040</v>
      </c>
      <c r="J26" s="20">
        <v>2045</v>
      </c>
      <c r="K26" s="20">
        <v>2050</v>
      </c>
    </row>
    <row r="27" spans="3:11">
      <c r="D27" s="25" t="s">
        <v>24</v>
      </c>
      <c r="E27" s="26">
        <v>109.39</v>
      </c>
      <c r="F27" s="27">
        <f>_xlfn.FORECAST.LINEAR(2025,{109.39;157;230}, {2023;2030;2040})</f>
        <v>122.81073059360824</v>
      </c>
      <c r="G27" s="26">
        <v>157</v>
      </c>
      <c r="H27" s="27">
        <f>_xlfn.FORECAST.LINEAR(2035,{109.39;157;230}, {2023;2030;2040})</f>
        <v>193.89840182648368</v>
      </c>
      <c r="I27" s="26">
        <v>230</v>
      </c>
      <c r="J27" s="27">
        <f>_xlfn.FORECAST.LINEAR(2045,{109.39;157;230}, {2023;2030;2040})</f>
        <v>264.98607305936093</v>
      </c>
      <c r="K27" s="27">
        <f>_xlfn.FORECAST.LINEAR(2050,{109.39;157;230}, {2023;2030;2040})</f>
        <v>300.52990867580047</v>
      </c>
    </row>
    <row r="29" spans="3:11">
      <c r="E29" s="28" t="s">
        <v>25</v>
      </c>
    </row>
    <row r="30" spans="3:11">
      <c r="E30" s="29"/>
      <c r="F30" s="25" t="s">
        <v>26</v>
      </c>
    </row>
  </sheetData>
  <mergeCells count="2">
    <mergeCell ref="G7:K7"/>
    <mergeCell ref="E21:K2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414681-578E-43B8-8934-BC5759CBC3B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B9690AA4-2973-4C8B-AFF5-174A0EBF4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Ainge, Yuki Kehaulani</cp:lastModifiedBy>
  <cp:revision/>
  <dcterms:created xsi:type="dcterms:W3CDTF">2007-09-10T09:34:18Z</dcterms:created>
  <dcterms:modified xsi:type="dcterms:W3CDTF">2026-06-13T12:39:10Z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599156677722930</vt:r8>
  </property>
</Properties>
</file>